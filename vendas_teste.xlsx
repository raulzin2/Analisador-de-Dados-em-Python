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<sst xmlns="http://schemas.openxmlformats.org/spreadsheetml/2006/main" count="92" uniqueCount="48">
  <si>
    <t xml:space="preserve">Produto</t>
  </si>
  <si>
    <t xml:space="preserve">Categoria</t>
  </si>
  <si>
    <t xml:space="preserve">Quantidade</t>
  </si>
  <si>
    <t xml:space="preserve">Preco_Unitario</t>
  </si>
  <si>
    <t xml:space="preserve">Total</t>
  </si>
  <si>
    <t xml:space="preserve">Regiao</t>
  </si>
  <si>
    <t xml:space="preserve">Data_Venda</t>
  </si>
  <si>
    <t xml:space="preserve">Notebook Ultra 15</t>
  </si>
  <si>
    <t xml:space="preserve">Informática</t>
  </si>
  <si>
    <t xml:space="preserve">Nordeste</t>
  </si>
  <si>
    <t xml:space="preserve">2025-02</t>
  </si>
  <si>
    <t xml:space="preserve">Mouse Sem Fio</t>
  </si>
  <si>
    <t xml:space="preserve">Acessórios</t>
  </si>
  <si>
    <t xml:space="preserve">Sudeste</t>
  </si>
  <si>
    <t xml:space="preserve">2025-01</t>
  </si>
  <si>
    <t xml:space="preserve">Teclado Mecânico RGB</t>
  </si>
  <si>
    <t xml:space="preserve">Monitor 24 Polegadas</t>
  </si>
  <si>
    <t xml:space="preserve">Norte</t>
  </si>
  <si>
    <t xml:space="preserve">Fone Bluetooth</t>
  </si>
  <si>
    <t xml:space="preserve">Áudio</t>
  </si>
  <si>
    <t xml:space="preserve">2025-04</t>
  </si>
  <si>
    <t xml:space="preserve">Webcam Full HD</t>
  </si>
  <si>
    <t xml:space="preserve">SSD 480GB</t>
  </si>
  <si>
    <t xml:space="preserve">Armazenamento</t>
  </si>
  <si>
    <t xml:space="preserve">Centro-Oeste</t>
  </si>
  <si>
    <t xml:space="preserve">2025-03</t>
  </si>
  <si>
    <t xml:space="preserve">Carregador Turbo 65W</t>
  </si>
  <si>
    <t xml:space="preserve">Cabo HDMI 2m</t>
  </si>
  <si>
    <t xml:space="preserve">Cabos</t>
  </si>
  <si>
    <t xml:space="preserve">Hub USB-C 6 em 1</t>
  </si>
  <si>
    <t xml:space="preserve">Caixa de Som Bluetooth</t>
  </si>
  <si>
    <t xml:space="preserve">Impressora Multifuncional</t>
  </si>
  <si>
    <t xml:space="preserve">Roteador Wi-Fi 6</t>
  </si>
  <si>
    <t xml:space="preserve">Redes</t>
  </si>
  <si>
    <t xml:space="preserve">Sul</t>
  </si>
  <si>
    <t xml:space="preserve">Cadeira Gamer</t>
  </si>
  <si>
    <t xml:space="preserve">Móveis</t>
  </si>
  <si>
    <t xml:space="preserve">Mousepad Grande</t>
  </si>
  <si>
    <t xml:space="preserve">Headset Gamer</t>
  </si>
  <si>
    <t xml:space="preserve">Pendrive 64GB</t>
  </si>
  <si>
    <t xml:space="preserve">Suporte para Notebook</t>
  </si>
  <si>
    <t xml:space="preserve">Microfone USB</t>
  </si>
  <si>
    <t xml:space="preserve">Placa de Vídeo Entry</t>
  </si>
  <si>
    <t xml:space="preserve">Resumo estatístico (referência para conferir o analisador.py)</t>
  </si>
  <si>
    <t xml:space="preserve">Média</t>
  </si>
  <si>
    <t xml:space="preserve">Máximo</t>
  </si>
  <si>
    <t xml:space="preserve">Mínimo</t>
  </si>
  <si>
    <t xml:space="preserve">Soma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</si>
</sst>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n">
        <v>4</v>
      </c>
      <c r="D2" s="3" t="n">
        <v>3526.45</v>
      </c>
      <c r="E2" s="3" t="n">
        <f aca="false">C2*D2</f>
        <v>14105.8</v>
      </c>
      <c r="F2" s="2" t="s">
        <v>9</v>
      </c>
      <c r="G2" s="2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n">
        <v>50</v>
      </c>
      <c r="D3" s="3" t="n">
        <v>76.29</v>
      </c>
      <c r="E3" s="3" t="n">
        <f aca="false">C3*D3</f>
        <v>3814.5</v>
      </c>
      <c r="F3" s="2" t="s">
        <v>13</v>
      </c>
      <c r="G3" s="2" t="s">
        <v>14</v>
      </c>
    </row>
    <row r="4" customFormat="false" ht="15" hidden="false" customHeight="false" outlineLevel="0" collapsed="false">
      <c r="A4" s="2" t="s">
        <v>15</v>
      </c>
      <c r="B4" s="2" t="s">
        <v>12</v>
      </c>
      <c r="C4" s="2" t="n">
        <v>5</v>
      </c>
      <c r="D4" s="3" t="n">
        <v>144.24</v>
      </c>
      <c r="E4" s="3" t="n">
        <f aca="false">C4*D4</f>
        <v>721.2</v>
      </c>
      <c r="F4" s="2" t="s">
        <v>13</v>
      </c>
      <c r="G4" s="2" t="s">
        <v>14</v>
      </c>
    </row>
    <row r="5" customFormat="false" ht="15" hidden="false" customHeight="false" outlineLevel="0" collapsed="false">
      <c r="A5" s="2" t="s">
        <v>16</v>
      </c>
      <c r="B5" s="2" t="s">
        <v>8</v>
      </c>
      <c r="C5" s="2" t="n">
        <v>35</v>
      </c>
      <c r="D5" s="3" t="n">
        <v>2390.32</v>
      </c>
      <c r="E5" s="3" t="n">
        <f aca="false">C5*D5</f>
        <v>83661.2</v>
      </c>
      <c r="F5" s="2" t="s">
        <v>17</v>
      </c>
      <c r="G5" s="2" t="s">
        <v>14</v>
      </c>
    </row>
    <row r="6" customFormat="false" ht="15" hidden="false" customHeight="false" outlineLevel="0" collapsed="false">
      <c r="A6" s="2" t="s">
        <v>18</v>
      </c>
      <c r="B6" s="2" t="s">
        <v>19</v>
      </c>
      <c r="C6" s="2" t="n">
        <v>48</v>
      </c>
      <c r="D6" s="3" t="n">
        <v>278.89</v>
      </c>
      <c r="E6" s="3" t="n">
        <f aca="false">C6*D6</f>
        <v>13386.72</v>
      </c>
      <c r="F6" s="2" t="s">
        <v>17</v>
      </c>
      <c r="G6" s="2" t="s">
        <v>20</v>
      </c>
    </row>
    <row r="7" customFormat="false" ht="15" hidden="false" customHeight="false" outlineLevel="0" collapsed="false">
      <c r="A7" s="2" t="s">
        <v>21</v>
      </c>
      <c r="B7" s="2" t="s">
        <v>12</v>
      </c>
      <c r="C7" s="2" t="n">
        <v>40</v>
      </c>
      <c r="D7" s="3" t="n">
        <v>75.78</v>
      </c>
      <c r="E7" s="3" t="n">
        <f aca="false">C7*D7</f>
        <v>3031.2</v>
      </c>
      <c r="F7" s="2" t="s">
        <v>9</v>
      </c>
      <c r="G7" s="2" t="s">
        <v>14</v>
      </c>
    </row>
    <row r="8" customFormat="false" ht="15" hidden="false" customHeight="false" outlineLevel="0" collapsed="false">
      <c r="A8" s="2" t="s">
        <v>22</v>
      </c>
      <c r="B8" s="2" t="s">
        <v>23</v>
      </c>
      <c r="C8" s="2" t="n">
        <v>13</v>
      </c>
      <c r="D8" s="3" t="n">
        <v>237.29</v>
      </c>
      <c r="E8" s="3" t="n">
        <f aca="false">C8*D8</f>
        <v>3084.77</v>
      </c>
      <c r="F8" s="2" t="s">
        <v>24</v>
      </c>
      <c r="G8" s="2" t="s">
        <v>25</v>
      </c>
    </row>
    <row r="9" customFormat="false" ht="15" hidden="false" customHeight="false" outlineLevel="0" collapsed="false">
      <c r="A9" s="2" t="s">
        <v>26</v>
      </c>
      <c r="B9" s="2" t="s">
        <v>12</v>
      </c>
      <c r="C9" s="2" t="n">
        <v>16</v>
      </c>
      <c r="D9" s="3" t="n">
        <v>86.41</v>
      </c>
      <c r="E9" s="3" t="n">
        <f aca="false">C9*D9</f>
        <v>1382.56</v>
      </c>
      <c r="F9" s="2" t="s">
        <v>9</v>
      </c>
      <c r="G9" s="2" t="s">
        <v>14</v>
      </c>
    </row>
    <row r="10" customFormat="false" ht="15" hidden="false" customHeight="false" outlineLevel="0" collapsed="false">
      <c r="A10" s="2" t="s">
        <v>27</v>
      </c>
      <c r="B10" s="2" t="s">
        <v>28</v>
      </c>
      <c r="C10" s="2" t="n">
        <v>9</v>
      </c>
      <c r="D10" s="3" t="n">
        <v>19.17</v>
      </c>
      <c r="E10" s="3" t="n">
        <f aca="false">C10*D10</f>
        <v>172.53</v>
      </c>
      <c r="F10" s="2" t="s">
        <v>9</v>
      </c>
      <c r="G10" s="2" t="s">
        <v>25</v>
      </c>
    </row>
    <row r="11" customFormat="false" ht="15" hidden="false" customHeight="false" outlineLevel="0" collapsed="false">
      <c r="A11" s="2" t="s">
        <v>29</v>
      </c>
      <c r="B11" s="2" t="s">
        <v>12</v>
      </c>
      <c r="C11" s="2" t="n">
        <v>54</v>
      </c>
      <c r="D11" s="3" t="n">
        <v>146.69</v>
      </c>
      <c r="E11" s="3" t="n">
        <f aca="false">C11*D11</f>
        <v>7921.26</v>
      </c>
      <c r="F11" s="2" t="s">
        <v>13</v>
      </c>
      <c r="G11" s="2" t="s">
        <v>20</v>
      </c>
    </row>
    <row r="12" customFormat="false" ht="15" hidden="false" customHeight="false" outlineLevel="0" collapsed="false">
      <c r="A12" s="2" t="s">
        <v>30</v>
      </c>
      <c r="B12" s="2" t="s">
        <v>19</v>
      </c>
      <c r="C12" s="2" t="n">
        <v>27</v>
      </c>
      <c r="D12" s="3" t="n">
        <v>269.13</v>
      </c>
      <c r="E12" s="3" t="n">
        <f aca="false">C12*D12</f>
        <v>7266.51</v>
      </c>
      <c r="F12" s="2" t="s">
        <v>13</v>
      </c>
      <c r="G12" s="2" t="s">
        <v>25</v>
      </c>
    </row>
    <row r="13" customFormat="false" ht="15" hidden="false" customHeight="false" outlineLevel="0" collapsed="false">
      <c r="A13" s="2" t="s">
        <v>31</v>
      </c>
      <c r="B13" s="2" t="s">
        <v>8</v>
      </c>
      <c r="C13" s="2" t="n">
        <v>42</v>
      </c>
      <c r="D13" s="3" t="n">
        <v>4039.39</v>
      </c>
      <c r="E13" s="3" t="n">
        <f aca="false">C13*D13</f>
        <v>169654.38</v>
      </c>
      <c r="F13" s="2" t="s">
        <v>9</v>
      </c>
      <c r="G13" s="2" t="s">
        <v>10</v>
      </c>
    </row>
    <row r="14" customFormat="false" ht="15" hidden="false" customHeight="false" outlineLevel="0" collapsed="false">
      <c r="A14" s="2" t="s">
        <v>32</v>
      </c>
      <c r="B14" s="2" t="s">
        <v>33</v>
      </c>
      <c r="C14" s="2" t="n">
        <v>5</v>
      </c>
      <c r="D14" s="3" t="n">
        <v>467.06</v>
      </c>
      <c r="E14" s="3" t="n">
        <f aca="false">C14*D14</f>
        <v>2335.3</v>
      </c>
      <c r="F14" s="2" t="s">
        <v>34</v>
      </c>
      <c r="G14" s="2" t="s">
        <v>25</v>
      </c>
    </row>
    <row r="15" customFormat="false" ht="15" hidden="false" customHeight="false" outlineLevel="0" collapsed="false">
      <c r="A15" s="2" t="s">
        <v>35</v>
      </c>
      <c r="B15" s="2" t="s">
        <v>36</v>
      </c>
      <c r="C15" s="2" t="n">
        <v>57</v>
      </c>
      <c r="D15" s="3" t="n">
        <v>1189.66</v>
      </c>
      <c r="E15" s="3" t="n">
        <f aca="false">C15*D15</f>
        <v>67810.62</v>
      </c>
      <c r="F15" s="2" t="s">
        <v>34</v>
      </c>
      <c r="G15" s="2" t="s">
        <v>14</v>
      </c>
    </row>
    <row r="16" customFormat="false" ht="15" hidden="false" customHeight="false" outlineLevel="0" collapsed="false">
      <c r="A16" s="2" t="s">
        <v>37</v>
      </c>
      <c r="B16" s="2" t="s">
        <v>12</v>
      </c>
      <c r="C16" s="2" t="n">
        <v>32</v>
      </c>
      <c r="D16" s="3" t="n">
        <v>105.32</v>
      </c>
      <c r="E16" s="3" t="n">
        <f aca="false">C16*D16</f>
        <v>3370.24</v>
      </c>
      <c r="F16" s="2" t="s">
        <v>9</v>
      </c>
      <c r="G16" s="2" t="s">
        <v>10</v>
      </c>
    </row>
    <row r="17" customFormat="false" ht="15" hidden="false" customHeight="false" outlineLevel="0" collapsed="false">
      <c r="A17" s="2" t="s">
        <v>38</v>
      </c>
      <c r="B17" s="2" t="s">
        <v>19</v>
      </c>
      <c r="C17" s="2" t="n">
        <v>16</v>
      </c>
      <c r="D17" s="3" t="n">
        <v>204.37</v>
      </c>
      <c r="E17" s="3" t="n">
        <f aca="false">C17*D17</f>
        <v>3269.92</v>
      </c>
      <c r="F17" s="2" t="s">
        <v>9</v>
      </c>
      <c r="G17" s="2" t="s">
        <v>14</v>
      </c>
    </row>
    <row r="18" customFormat="false" ht="15" hidden="false" customHeight="false" outlineLevel="0" collapsed="false">
      <c r="A18" s="2" t="s">
        <v>39</v>
      </c>
      <c r="B18" s="2" t="s">
        <v>23</v>
      </c>
      <c r="C18" s="2" t="n">
        <v>13</v>
      </c>
      <c r="D18" s="3" t="n">
        <v>198.37</v>
      </c>
      <c r="E18" s="3" t="n">
        <f aca="false">C18*D18</f>
        <v>2578.81</v>
      </c>
      <c r="F18" s="2" t="s">
        <v>17</v>
      </c>
      <c r="G18" s="2" t="s">
        <v>10</v>
      </c>
    </row>
    <row r="19" customFormat="false" ht="15" hidden="false" customHeight="false" outlineLevel="0" collapsed="false">
      <c r="A19" s="2" t="s">
        <v>40</v>
      </c>
      <c r="B19" s="2" t="s">
        <v>12</v>
      </c>
      <c r="C19" s="2" t="n">
        <v>27</v>
      </c>
      <c r="D19" s="3" t="n">
        <v>65.23</v>
      </c>
      <c r="E19" s="3" t="n">
        <f aca="false">C19*D19</f>
        <v>1761.21</v>
      </c>
      <c r="F19" s="2" t="s">
        <v>9</v>
      </c>
      <c r="G19" s="2" t="s">
        <v>10</v>
      </c>
    </row>
    <row r="20" customFormat="false" ht="15" hidden="false" customHeight="false" outlineLevel="0" collapsed="false">
      <c r="A20" s="2" t="s">
        <v>41</v>
      </c>
      <c r="B20" s="2" t="s">
        <v>19</v>
      </c>
      <c r="C20" s="2" t="n">
        <v>56</v>
      </c>
      <c r="D20" s="3" t="n">
        <v>327</v>
      </c>
      <c r="E20" s="3" t="n">
        <f aca="false">C20*D20</f>
        <v>18312</v>
      </c>
      <c r="F20" s="2" t="s">
        <v>13</v>
      </c>
      <c r="G20" s="2" t="s">
        <v>10</v>
      </c>
    </row>
    <row r="21" customFormat="false" ht="15" hidden="false" customHeight="false" outlineLevel="0" collapsed="false">
      <c r="A21" s="2" t="s">
        <v>42</v>
      </c>
      <c r="B21" s="2" t="s">
        <v>8</v>
      </c>
      <c r="C21" s="2" t="n">
        <v>54</v>
      </c>
      <c r="D21" s="3" t="n">
        <v>4018.87</v>
      </c>
      <c r="E21" s="3" t="n">
        <f aca="false">C21*D21</f>
        <v>217018.98</v>
      </c>
      <c r="F21" s="2" t="s">
        <v>9</v>
      </c>
      <c r="G21" s="2" t="s">
        <v>20</v>
      </c>
    </row>
    <row r="22" customFormat="false" ht="15" hidden="false" customHeight="false" outlineLevel="0" collapsed="false">
      <c r="A22" s="4" t="s">
        <v>43</v>
      </c>
    </row>
    <row r="23" customFormat="false" ht="15" hidden="false" customHeight="false" outlineLevel="0" collapsed="false">
      <c r="A23" s="5" t="s">
        <v>44</v>
      </c>
      <c r="C23" s="3" t="n">
        <f aca="false">AVERAGE(C2:C21)</f>
        <v>30.15</v>
      </c>
      <c r="D23" s="3" t="n">
        <f aca="false">AVERAGE(D2:D21)</f>
        <v>893.2965</v>
      </c>
      <c r="E23" s="3" t="n">
        <f aca="false">AVERAGE(E2:E21)</f>
        <v>31232.9855</v>
      </c>
    </row>
    <row r="24" customFormat="false" ht="15" hidden="false" customHeight="false" outlineLevel="0" collapsed="false">
      <c r="A24" s="5" t="s">
        <v>45</v>
      </c>
      <c r="C24" s="3" t="n">
        <f aca="false">MAX(C2:C21)</f>
        <v>57</v>
      </c>
      <c r="D24" s="3" t="n">
        <f aca="false">MAX(D2:D21)</f>
        <v>4039.39</v>
      </c>
      <c r="E24" s="3" t="n">
        <f aca="false">MAX(E2:E21)</f>
        <v>217018.98</v>
      </c>
    </row>
    <row r="25" customFormat="false" ht="15" hidden="false" customHeight="false" outlineLevel="0" collapsed="false">
      <c r="A25" s="5" t="s">
        <v>46</v>
      </c>
      <c r="C25" s="3" t="n">
        <f aca="false">MIN(C2:C21)</f>
        <v>4</v>
      </c>
      <c r="D25" s="3" t="n">
        <f aca="false">MIN(D2:D21)</f>
        <v>19.17</v>
      </c>
      <c r="E25" s="3" t="n">
        <f aca="false">MIN(E2:E21)</f>
        <v>172.53</v>
      </c>
    </row>
    <row r="26" customFormat="false" ht="15" hidden="false" customHeight="false" outlineLevel="0" collapsed="false">
      <c r="A26" s="5" t="s">
        <v>47</v>
      </c>
      <c r="C26" s="3" t="n">
        <f aca="false">SUM(C2:C21)</f>
        <v>603</v>
      </c>
      <c r="D26" s="3" t="n">
        <f aca="false">SUM(D2:D21)</f>
        <v>17865.93</v>
      </c>
      <c r="E26" s="3" t="n">
        <f aca="false">SUM(E2:E21)</f>
        <v>624659.71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2026-07-29T20:59:24Z</dcterms:created>
  <dc:creator>openpyxl</dc:creator>
  <dc:description/>
  <dc:language>en-US</dc:language>
  <cp:lastModifiedBy/>
  <dcterms:modified xsi:type="dcterms:W3CDTF">2026-07-29T20:59:24Z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